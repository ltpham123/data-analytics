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ley\Documents\DataAnalytics\week-01\"/>
    </mc:Choice>
  </mc:AlternateContent>
  <xr:revisionPtr revIDLastSave="0" documentId="13_ncr:1_{E9163A99-F2D1-4ED4-9D3A-A9C0AB9BE133}" xr6:coauthVersionLast="47" xr6:coauthVersionMax="47" xr10:uidLastSave="{00000000-0000-0000-0000-000000000000}"/>
  <bookViews>
    <workbookView xWindow="0" yWindow="0" windowWidth="19200" windowHeight="21000" activeTab="2" xr2:uid="{19D808DD-09B8-428A-A667-AE1FA2C45E83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<sst xmlns="http://schemas.openxmlformats.org/spreadsheetml/2006/main" count="154" uniqueCount="68">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</sst>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2-456D-A6ED-6144085489BB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2-456D-A6ED-614408548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414511"/>
        <c:axId val="1294425551"/>
      </c:barChart>
      <c:catAx>
        <c:axId val="129441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25551"/>
        <c:crosses val="autoZero"/>
        <c:auto val="1"/>
        <c:lblAlgn val="ctr"/>
        <c:lblOffset val="100"/>
        <c:noMultiLvlLbl val="0"/>
      </c:catAx>
      <c:valAx>
        <c:axId val="129442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1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20</xdr:row>
      <xdr:rowOff>80962</xdr:rowOff>
    </xdr:from>
    <xdr:to>
      <xdr:col>13</xdr:col>
      <xdr:colOff>219075</xdr:colOff>
      <xdr:row>34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BBD9B3-C5BC-4F32-AB6D-08539E07C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ley Pham" refreshedDate="46121.950537847224" createdVersion="8" refreshedVersion="8" minRefreshableVersion="3" recordCount="10" xr:uid="{305BA0EE-E1E3-4026-B229-28C9A664E5FA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19"/>
  </r>
  <r>
    <x v="3"/>
    <x v="0"/>
    <n v="0.73"/>
    <n v="0.15"/>
  </r>
  <r>
    <x v="4"/>
    <x v="1"/>
    <n v="0.7"/>
    <n v="0.18"/>
  </r>
  <r>
    <x v="5"/>
    <x v="1"/>
    <n v="0.76"/>
    <n v="0.14000000000000001"/>
  </r>
  <r>
    <x v="6"/>
    <x v="1"/>
    <n v="0.7"/>
    <n v="0.18"/>
  </r>
  <r>
    <x v="7"/>
    <x v="1"/>
    <n v="0.68"/>
    <n v="0.17"/>
  </r>
  <r>
    <x v="8"/>
    <x v="1"/>
    <n v="0.66"/>
    <n v="0.21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928D2-6FAC-42F2-AD16-55CD92DE383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D5CF-96BA-4BCB-8998-6E9E8749991A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5" x14ac:dyDescent="0.25"/>
  <cols>
    <col min="2" max="2" width="21.85546875" bestFit="1" customWidth="1"/>
    <col min="3" max="3" width="13.140625" bestFit="1" customWidth="1"/>
    <col min="4" max="4" width="12.28515625" bestFit="1" customWidth="1"/>
    <col min="5" max="5" width="10.5703125" bestFit="1" customWidth="1"/>
    <col min="7" max="7" width="11.140625" bestFit="1" customWidth="1"/>
    <col min="10" max="10" width="10.28515625" bestFit="1" customWidth="1"/>
    <col min="11" max="11" width="14.5703125" bestFit="1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2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25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2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2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2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25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25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2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25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25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2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25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2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25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25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25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25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25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25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2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25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25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52" xr:uid="{78E7D5CF-96BA-4BCB-8998-6E9E874999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1602-45F1-4CA1-9446-23A078FA769B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52" x14ac:dyDescent="0.25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25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25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7576-D866-444E-BED2-26244DF8786F}">
  <dimension ref="A1:D26"/>
  <sheetViews>
    <sheetView tabSelected="1" workbookViewId="0"/>
  </sheetViews>
  <sheetFormatPr defaultRowHeight="15" x14ac:dyDescent="0.25"/>
  <cols>
    <col min="1" max="1" width="13.42578125" bestFit="1" customWidth="1"/>
    <col min="2" max="2" width="18" bestFit="1" customWidth="1"/>
    <col min="3" max="3" width="16.85546875" bestFit="1" customWidth="1"/>
  </cols>
  <sheetData>
    <row r="1" spans="1:4" x14ac:dyDescent="0.25">
      <c r="A1" t="s">
        <v>59</v>
      </c>
      <c r="B1" t="s">
        <v>60</v>
      </c>
      <c r="C1" t="s">
        <v>56</v>
      </c>
      <c r="D1" t="s">
        <v>57</v>
      </c>
    </row>
    <row r="2" spans="1:4" x14ac:dyDescent="0.25">
      <c r="A2" t="s">
        <v>38</v>
      </c>
      <c r="B2" t="s">
        <v>61</v>
      </c>
      <c r="C2" s="4">
        <f>VLOOKUP('sales region lookup'!A2, 'by search term'!B:C, 2, FALSE)</f>
        <v>0.67</v>
      </c>
      <c r="D2" s="4">
        <f>_xlfn.XLOOKUP(A2, 'by search term'!B1:B52, 'by search term'!D1:D52, "not found")</f>
        <v>0.19</v>
      </c>
    </row>
    <row r="3" spans="1:4" x14ac:dyDescent="0.25">
      <c r="A3" t="s">
        <v>37</v>
      </c>
      <c r="B3" t="s">
        <v>61</v>
      </c>
      <c r="C3" s="4">
        <f>VLOOKUP('sales region lookup'!A3, 'by search term'!B:C, 2, FALSE)</f>
        <v>0.68</v>
      </c>
      <c r="D3" s="4">
        <f>_xlfn.XLOOKUP(A3, 'by search term'!B2:B53, 'by search term'!D2:D53, "not found")</f>
        <v>0.18</v>
      </c>
    </row>
    <row r="4" spans="1:4" x14ac:dyDescent="0.25">
      <c r="A4" t="s">
        <v>31</v>
      </c>
      <c r="B4" t="s">
        <v>61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0.19</v>
      </c>
    </row>
    <row r="5" spans="1:4" x14ac:dyDescent="0.25">
      <c r="A5" t="s">
        <v>48</v>
      </c>
      <c r="B5" t="s">
        <v>61</v>
      </c>
      <c r="C5" s="4">
        <f>VLOOKUP('sales region lookup'!A5, 'by search term'!B:C, 2, FALSE)</f>
        <v>0.73</v>
      </c>
      <c r="D5" s="4">
        <f>_xlfn.XLOOKUP(A5, 'by search term'!B4:B55, 'by search term'!D4:D55, "not found")</f>
        <v>0.15</v>
      </c>
    </row>
    <row r="6" spans="1:4" x14ac:dyDescent="0.25">
      <c r="A6" t="s">
        <v>34</v>
      </c>
      <c r="B6" t="s">
        <v>62</v>
      </c>
      <c r="C6" s="4">
        <f>VLOOKUP('sales region lookup'!A6, 'by search term'!B:C, 2, FALSE)</f>
        <v>0.7</v>
      </c>
      <c r="D6" s="4">
        <f>_xlfn.XLOOKUP(A6, 'by search term'!B5:B56, 'by search term'!D5:D56, "not found")</f>
        <v>0.18</v>
      </c>
    </row>
    <row r="7" spans="1:4" x14ac:dyDescent="0.25">
      <c r="A7" t="s">
        <v>44</v>
      </c>
      <c r="B7" t="s">
        <v>62</v>
      </c>
      <c r="C7" s="4">
        <f>VLOOKUP('sales region lookup'!A7, 'by search term'!B:C, 2, FALSE)</f>
        <v>0.76</v>
      </c>
      <c r="D7" s="4">
        <f>_xlfn.XLOOKUP(A7, 'by search term'!B6:B57, 'by search term'!D6:D57, "not found")</f>
        <v>0.14000000000000001</v>
      </c>
    </row>
    <row r="8" spans="1:4" x14ac:dyDescent="0.25">
      <c r="A8" t="s">
        <v>35</v>
      </c>
      <c r="B8" t="s">
        <v>62</v>
      </c>
      <c r="C8" s="4">
        <f>VLOOKUP('sales region lookup'!A8, 'by search term'!B:C, 2, FALSE)</f>
        <v>0.7</v>
      </c>
      <c r="D8" s="4">
        <f>_xlfn.XLOOKUP(A8, 'by search term'!B7:B58, 'by search term'!D7:D58, "not found")</f>
        <v>0.18</v>
      </c>
    </row>
    <row r="9" spans="1:4" x14ac:dyDescent="0.25">
      <c r="A9" t="s">
        <v>42</v>
      </c>
      <c r="B9" t="s">
        <v>62</v>
      </c>
      <c r="C9" s="4">
        <f>VLOOKUP('sales region lookup'!A9, 'by search term'!B:C, 2, FALSE)</f>
        <v>0.68</v>
      </c>
      <c r="D9" s="4">
        <f>_xlfn.XLOOKUP(A9, 'by search term'!B8:B59, 'by search term'!D8:D59, "not found")</f>
        <v>0.17</v>
      </c>
    </row>
    <row r="10" spans="1:4" x14ac:dyDescent="0.25">
      <c r="A10" t="s">
        <v>22</v>
      </c>
      <c r="B10" t="s">
        <v>62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0.21</v>
      </c>
    </row>
    <row r="11" spans="1:4" x14ac:dyDescent="0.25">
      <c r="A11" t="s">
        <v>21</v>
      </c>
      <c r="B11" t="s">
        <v>62</v>
      </c>
      <c r="C11" s="4">
        <f>VLOOKUP('sales region lookup'!A11, 'by search term'!B:C, 2, FALSE)</f>
        <v>0.66</v>
      </c>
      <c r="D11" s="4">
        <f>_xlfn.XLOOKUP(A11, 'by search term'!B10:B61, 'by search term'!D10:D61, "not found")</f>
        <v>0.2</v>
      </c>
    </row>
    <row r="13" spans="1:4" x14ac:dyDescent="0.25">
      <c r="A13" s="5" t="s">
        <v>60</v>
      </c>
      <c r="B13" t="s">
        <v>67</v>
      </c>
    </row>
    <row r="15" spans="1:4" x14ac:dyDescent="0.25">
      <c r="A15" s="5" t="s">
        <v>63</v>
      </c>
      <c r="B15" t="s">
        <v>65</v>
      </c>
      <c r="C15" t="s">
        <v>66</v>
      </c>
    </row>
    <row r="16" spans="1:4" x14ac:dyDescent="0.25">
      <c r="A16" s="6" t="s">
        <v>31</v>
      </c>
      <c r="B16" s="1">
        <v>0.67</v>
      </c>
      <c r="C16" s="1">
        <v>0.19</v>
      </c>
    </row>
    <row r="17" spans="1:3" x14ac:dyDescent="0.25">
      <c r="A17" s="6" t="s">
        <v>21</v>
      </c>
      <c r="B17" s="1">
        <v>0.66</v>
      </c>
      <c r="C17" s="1">
        <v>0.2</v>
      </c>
    </row>
    <row r="18" spans="1:3" x14ac:dyDescent="0.25">
      <c r="A18" s="6" t="s">
        <v>42</v>
      </c>
      <c r="B18" s="1">
        <v>0.68</v>
      </c>
      <c r="C18" s="1">
        <v>0.17</v>
      </c>
    </row>
    <row r="19" spans="1:3" x14ac:dyDescent="0.25">
      <c r="A19" s="6" t="s">
        <v>48</v>
      </c>
      <c r="B19" s="1">
        <v>0.73</v>
      </c>
      <c r="C19" s="1">
        <v>0.15</v>
      </c>
    </row>
    <row r="20" spans="1:3" x14ac:dyDescent="0.25">
      <c r="A20" s="6" t="s">
        <v>35</v>
      </c>
      <c r="B20" s="1">
        <v>0.7</v>
      </c>
      <c r="C20" s="1">
        <v>0.18</v>
      </c>
    </row>
    <row r="21" spans="1:3" x14ac:dyDescent="0.25">
      <c r="A21" s="6" t="s">
        <v>34</v>
      </c>
      <c r="B21" s="1">
        <v>0.7</v>
      </c>
      <c r="C21" s="1">
        <v>0.18</v>
      </c>
    </row>
    <row r="22" spans="1:3" x14ac:dyDescent="0.25">
      <c r="A22" s="6" t="s">
        <v>37</v>
      </c>
      <c r="B22" s="1">
        <v>0.68</v>
      </c>
      <c r="C22" s="1">
        <v>0.18</v>
      </c>
    </row>
    <row r="23" spans="1:3" x14ac:dyDescent="0.25">
      <c r="A23" s="6" t="s">
        <v>44</v>
      </c>
      <c r="B23" s="1">
        <v>0.76</v>
      </c>
      <c r="C23" s="1">
        <v>0.14000000000000001</v>
      </c>
    </row>
    <row r="24" spans="1:3" x14ac:dyDescent="0.25">
      <c r="A24" s="6" t="s">
        <v>38</v>
      </c>
      <c r="B24" s="1">
        <v>0.67</v>
      </c>
      <c r="C24" s="1">
        <v>0.19</v>
      </c>
    </row>
    <row r="25" spans="1:3" x14ac:dyDescent="0.25">
      <c r="A25" s="6" t="s">
        <v>22</v>
      </c>
      <c r="B25" s="1">
        <v>0.66</v>
      </c>
      <c r="C25" s="1">
        <v>0.21</v>
      </c>
    </row>
    <row r="26" spans="1:3" x14ac:dyDescent="0.25">
      <c r="A26" s="6" t="s">
        <v>64</v>
      </c>
      <c r="B26" s="1">
        <v>6.91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longley pham</cp:lastModifiedBy>
  <dcterms:created xsi:type="dcterms:W3CDTF">2026-04-10T02:47:42Z</dcterms:created>
  <dcterms:modified xsi:type="dcterms:W3CDTF">2026-04-10T03:50:16Z</dcterms:modified>
</cp:coreProperties>
</file>