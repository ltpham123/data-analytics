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ngley\Downloads\"/>
    </mc:Choice>
  </mc:AlternateContent>
  <xr:revisionPtr revIDLastSave="0" documentId="13_ncr:1_{3EE9B4AE-2AE4-4B09-9821-509254B9F8B3}" xr6:coauthVersionLast="47" xr6:coauthVersionMax="47" xr10:uidLastSave="{00000000-0000-0000-0000-000000000000}"/>
  <bookViews>
    <workbookView xWindow="-19200" yWindow="0" windowWidth="19200" windowHeight="21000" xr2:uid="{00000000-000D-0000-FFFF-FFFF00000000}"/>
  </bookViews>
  <sheets>
    <sheet name="Sheet2" sheetId="2" r:id="rId1"/>
    <sheet name="Sheet1" sheetId="1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 a="1"/>
  <c r="R18" i="1" s="1"/>
  <c r="R17" i="1"/>
  <c r="J17" i="1"/>
  <c r="K17" i="1"/>
  <c r="W17" i="1"/>
  <c r="P17" i="1"/>
  <c r="D2" i="1"/>
  <c r="D17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Longley Pham</author>
  </authors>
  <commentList>
    <comment ref="A1" authorId="0" shapeId="0" xr:uid="{22614AB8-4E88-4CCB-8287-CC63CEA547E0}">
      <text>
        <r>
          <rPr>
            <b/>
            <sz val="9"/>
            <color indexed="81"/>
            <rFont val="Tahoma"/>
            <charset val="1"/>
          </rPr>
          <t>Longley Pham:</t>
        </r>
        <r>
          <rPr>
            <sz val="9"/>
            <color indexed="81"/>
            <rFont val="Tahoma"/>
            <charset val="1"/>
          </rPr>
          <t xml:space="preserve">
represents the survey # based on completion; assigns each grouped response a number to organize by survey #</t>
        </r>
      </text>
    </comment>
    <comment ref="B1" authorId="0" shapeId="0" xr:uid="{73D38254-27C8-462A-80D5-3314FEA3B298}">
      <text>
        <r>
          <rPr>
            <b/>
            <sz val="9"/>
            <color indexed="81"/>
            <rFont val="Tahoma"/>
            <charset val="1"/>
          </rPr>
          <t>Longley Pham:</t>
        </r>
        <r>
          <rPr>
            <sz val="9"/>
            <color indexed="81"/>
            <rFont val="Tahoma"/>
            <charset val="1"/>
          </rPr>
          <t xml:space="preserve">
short date removes the time displayed, general reveals the date values as numbers in memory</t>
        </r>
      </text>
    </comment>
    <comment ref="C1" authorId="0" shapeId="0" xr:uid="{BF099910-D37B-4118-9033-8D4AFE407A52}">
      <text>
        <r>
          <rPr>
            <b/>
            <sz val="9"/>
            <color indexed="81"/>
            <rFont val="Tahoma"/>
            <family val="2"/>
          </rPr>
          <t>Longley Pham:</t>
        </r>
        <r>
          <rPr>
            <sz val="9"/>
            <color indexed="81"/>
            <rFont val="Tahoma"/>
            <family val="2"/>
          </rPr>
          <t xml:space="preserve">
formatted using format painter</t>
        </r>
      </text>
    </comment>
    <comment ref="D1" authorId="0" shapeId="0" xr:uid="{57FA5E53-EB6B-4E97-AB62-056E374AA569}">
      <text>
        <r>
          <rPr>
            <b/>
            <sz val="9"/>
            <color indexed="81"/>
            <rFont val="Tahoma"/>
            <family val="2"/>
          </rPr>
          <t>Longley Pham:</t>
        </r>
        <r>
          <rPr>
            <sz val="9"/>
            <color indexed="81"/>
            <rFont val="Tahoma"/>
            <family val="2"/>
          </rPr>
          <t xml:space="preserve">
would change the format to hh:mm:ss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<sst xmlns="http://schemas.openxmlformats.org/spreadsheetml/2006/main" count="337" uniqueCount="203">
  <si>
    <t>ID</t>
  </si>
  <si>
    <t>Start time</t>
  </si>
  <si>
    <t>Completion time</t>
  </si>
  <si>
    <t>Email</t>
  </si>
  <si>
    <t>Name</t>
  </si>
  <si>
    <t>Last modified time</t>
  </si>
  <si>
    <t>When do you usually visit or order from Bar Leys? (Select all that apply)</t>
  </si>
  <si>
    <t>How do you usually order from Bar Leys?</t>
  </si>
  <si>
    <t>How often do you visit or order from Bar Leys?</t>
  </si>
  <si>
    <t>What is your average spending per visit?</t>
  </si>
  <si>
    <t>What is your favorite menu item?</t>
  </si>
  <si>
    <t>What are the main reason(s) you chose Bar Leys?</t>
  </si>
  <si>
    <t>What, if anything, prevents you from visiting more often? (Select all that apply)</t>
  </si>
  <si>
    <t>What would make you visit us more often?</t>
  </si>
  <si>
    <t>How likely are you to recommend Bar Leys to a friend or colleague?</t>
  </si>
  <si>
    <t>Please share any additional comments or questions.</t>
  </si>
  <si>
    <t>How interested are you in joining a customer rewards/loyalty program?</t>
  </si>
  <si>
    <t>What type of rewards would you value the most?</t>
  </si>
  <si>
    <t>Which reward would most motivate you to return within the next 2 weeks?</t>
  </si>
  <si>
    <t>How would you prefer to earn rewards?</t>
  </si>
  <si>
    <t>How easy do you want to earn rewards?</t>
  </si>
  <si>
    <t>Would you be interested in personalized rewards based on your favorite items?</t>
  </si>
  <si>
    <t>How would you prefer to receive rewards and promotions? (Select all that apply)</t>
  </si>
  <si>
    <t>Is there anything else you'd like to see in our loyalty/rewards program?</t>
  </si>
  <si>
    <t>Email Address</t>
  </si>
  <si>
    <t>Phone Number (xxx-xxx-xxxx)</t>
  </si>
  <si>
    <t>Zip Code</t>
  </si>
  <si>
    <t>lpham1@my.yearupunited.org</t>
  </si>
  <si>
    <t>longley pham</t>
  </si>
  <si>
    <t>Weekend morning;</t>
  </si>
  <si>
    <t>Delivery;</t>
  </si>
  <si>
    <t>A few times per month</t>
  </si>
  <si>
    <t>$20 - $35</t>
  </si>
  <si>
    <t>asd</t>
  </si>
  <si>
    <t>Speed of Service;</t>
  </si>
  <si>
    <t>Inconsistent quality;</t>
  </si>
  <si>
    <t>Somewhat not interested</t>
  </si>
  <si>
    <t>Points-based system (earn &amp; redeem);</t>
  </si>
  <si>
    <t>Free item with purchase</t>
  </si>
  <si>
    <t>Tiered system (more visits = better perks/membership)</t>
  </si>
  <si>
    <t>Harder to earn (larger rewards)</t>
  </si>
  <si>
    <t>No</t>
  </si>
  <si>
    <t>Mobile app;</t>
  </si>
  <si>
    <t>asd@asd.ca</t>
  </si>
  <si>
    <t>ccelik@my.yearupunited.org</t>
  </si>
  <si>
    <t>cagla celik</t>
  </si>
  <si>
    <t>Weekend dinner;</t>
  </si>
  <si>
    <t>Dine-In;</t>
  </si>
  <si>
    <t>$35 - $50</t>
  </si>
  <si>
    <t>Espresso Martini</t>
  </si>
  <si>
    <t>Customer Service;Atmosphere;Speed of Service;</t>
  </si>
  <si>
    <t>Vegan options</t>
  </si>
  <si>
    <t>Free items (e.g. appetizers, drinks, desserts);</t>
  </si>
  <si>
    <t>Double points/Bonus rewards</t>
  </si>
  <si>
    <t>Points per dollar spent</t>
  </si>
  <si>
    <t>Balanced</t>
  </si>
  <si>
    <t>Maybe</t>
  </si>
  <si>
    <t>In-store notifications;</t>
  </si>
  <si>
    <t>kmarsh1@my.yearupunited.org</t>
  </si>
  <si>
    <t>kiersten marsh</t>
  </si>
  <si>
    <t>Weekend dinner;Weekend lunch;</t>
  </si>
  <si>
    <t>the burger</t>
  </si>
  <si>
    <t>Food Quality;Customer Service;Variety of Menu Options;</t>
  </si>
  <si>
    <t>Lack of promotions/deals;</t>
  </si>
  <si>
    <t>Maybe like events</t>
  </si>
  <si>
    <t>Extremely interested</t>
  </si>
  <si>
    <t>Free items (e.g. appetizers, drinks, desserts);Points-based system (earn &amp; redeem);</t>
  </si>
  <si>
    <t>Yes</t>
  </si>
  <si>
    <t>Text messages (SMS);</t>
  </si>
  <si>
    <t>emailyemail@email.com</t>
  </si>
  <si>
    <t>123-456-7890</t>
  </si>
  <si>
    <t>29802</t>
  </si>
  <si>
    <t>jalmarazflores@my.yearupunited.org</t>
  </si>
  <si>
    <t>julissa almarazflores</t>
  </si>
  <si>
    <t>Weekend lunch;Weekend dinner;</t>
  </si>
  <si>
    <t>Margarita</t>
  </si>
  <si>
    <t>Food Quality;Price/Value;Variety of Menu Options;</t>
  </si>
  <si>
    <t>Price;Lack of promotions/deals;</t>
  </si>
  <si>
    <t>Promotions or deals</t>
  </si>
  <si>
    <t>n/a</t>
  </si>
  <si>
    <t>Somewhat interested</t>
  </si>
  <si>
    <t>Discounts (e.g. % off);Points-based system (earn &amp; redeem);</t>
  </si>
  <si>
    <t>$5 off next visit</t>
  </si>
  <si>
    <t>Text messages (SMS);Mobile app;</t>
  </si>
  <si>
    <t>ilovedogs@gmail.com</t>
  </si>
  <si>
    <t>12312231223123</t>
  </si>
  <si>
    <t>60629</t>
  </si>
  <si>
    <t>tarista@my.yearupunited.org</t>
  </si>
  <si>
    <t>tracy arista</t>
  </si>
  <si>
    <t>Rarely</t>
  </si>
  <si>
    <t>smoked burger</t>
  </si>
  <si>
    <t>Happy Hour;</t>
  </si>
  <si>
    <t>Location/Convenience;Prefer other restaurants;</t>
  </si>
  <si>
    <t>better martini cocktails</t>
  </si>
  <si>
    <t>Extremely not interested</t>
  </si>
  <si>
    <t>BOGO (Buy-one-get-one) offer</t>
  </si>
  <si>
    <t>Very easy (smaller rewards)</t>
  </si>
  <si>
    <t>janedoe@email.net</t>
  </si>
  <si>
    <t>pmartinez@my.yearupunited.org</t>
  </si>
  <si>
    <t>paola martinez</t>
  </si>
  <si>
    <t>&gt; $50</t>
  </si>
  <si>
    <t xml:space="preserve">The frozen margaritas </t>
  </si>
  <si>
    <t>Atmosphere;Customer Service;Food Quality;</t>
  </si>
  <si>
    <t>Price;Wait times;Lack of promotions/deals;</t>
  </si>
  <si>
    <t xml:space="preserve">I would love if there were more specials such as full course specials or happy hour specials </t>
  </si>
  <si>
    <t>Neutral</t>
  </si>
  <si>
    <t>Discounts (e.g. % off);Free items (e.g. appetizers, drinks, desserts);</t>
  </si>
  <si>
    <t>paolaelizabethmartinez@gmail.com</t>
  </si>
  <si>
    <t>708 834 8053</t>
  </si>
  <si>
    <t>60647</t>
  </si>
  <si>
    <t>ssimsek@my.yearupunited.org</t>
  </si>
  <si>
    <t>sultan simsek</t>
  </si>
  <si>
    <t>Weekday dinner;</t>
  </si>
  <si>
    <t>BarLey Risotto</t>
  </si>
  <si>
    <t>Food Quality;Happy Hour;</t>
  </si>
  <si>
    <t>Price;</t>
  </si>
  <si>
    <t>More budget friendly food items</t>
  </si>
  <si>
    <t>ironwoman26@hotmail.com</t>
  </si>
  <si>
    <t>1111111111</t>
  </si>
  <si>
    <t>mruiz3@my.yearupunited.org</t>
  </si>
  <si>
    <t>maritza ruiz</t>
  </si>
  <si>
    <t>Canned Modelo</t>
  </si>
  <si>
    <t>Price/Value;</t>
  </si>
  <si>
    <t>More specials</t>
  </si>
  <si>
    <t>Points per visit</t>
  </si>
  <si>
    <t>Invite only events</t>
  </si>
  <si>
    <t>mndkfsndkfc@outlook.com</t>
  </si>
  <si>
    <t>111-111-1111</t>
  </si>
  <si>
    <t>60356</t>
  </si>
  <si>
    <t>jnavarroservin@my.yearupunited.org</t>
  </si>
  <si>
    <t>jessica navarroservin</t>
  </si>
  <si>
    <t>Weekend morning;Weekend lunch;</t>
  </si>
  <si>
    <t>Takeout;Dine-In;</t>
  </si>
  <si>
    <t>Once a week</t>
  </si>
  <si>
    <t>Chicken Panini</t>
  </si>
  <si>
    <t>Convenience/Location;Speed of Service;Happy Hour;</t>
  </si>
  <si>
    <t>Limited menu options;Inconsistent quality;</t>
  </si>
  <si>
    <t>Offer live music band</t>
  </si>
  <si>
    <t>ilovedrinks@pinkflamingo.com</t>
  </si>
  <si>
    <t>1234-1234-0000</t>
  </si>
  <si>
    <t>76011</t>
  </si>
  <si>
    <t>edebero@my.yearupunited.org</t>
  </si>
  <si>
    <t>eyerusalem debero</t>
  </si>
  <si>
    <t>Weekday lunch;Weekend dinner;</t>
  </si>
  <si>
    <t>Grilled chicken bowl</t>
  </si>
  <si>
    <t>Food Quality;Atmosphere;Customer Service;</t>
  </si>
  <si>
    <t>Price;Wait times;</t>
  </si>
  <si>
    <t>Lower prices and faster service during busy hours.</t>
  </si>
  <si>
    <t>Great food and atmosphere, but improving wait times would make the experience even better.</t>
  </si>
  <si>
    <t>Free items (e.g. appetizers, drinks, desserts);Discounts (e.g. % off);</t>
  </si>
  <si>
    <t>Email;Text messages (SMS);</t>
  </si>
  <si>
    <t>I would like simple and easy rewards, especially free food or discounts that can be earned quickly.</t>
  </si>
  <si>
    <t>521-771-7712</t>
  </si>
  <si>
    <t>98756</t>
  </si>
  <si>
    <t>gmutize@my.yearupunited.org</t>
  </si>
  <si>
    <t>godknows mutize</t>
  </si>
  <si>
    <t>Weekday morning;</t>
  </si>
  <si>
    <t>$10 - $20</t>
  </si>
  <si>
    <t>drinks</t>
  </si>
  <si>
    <t>Food Quality;</t>
  </si>
  <si>
    <t>Quality</t>
  </si>
  <si>
    <t>Discounts (e.g. % off);</t>
  </si>
  <si>
    <t>gdhdhd@gmail.com</t>
  </si>
  <si>
    <t>5749739292</t>
  </si>
  <si>
    <t>75070</t>
  </si>
  <si>
    <t>rmengesha@my.yearupunited.org</t>
  </si>
  <si>
    <t>Takeout;</t>
  </si>
  <si>
    <t>grilled burger</t>
  </si>
  <si>
    <t>loyalty program</t>
  </si>
  <si>
    <t>good atmosphere</t>
  </si>
  <si>
    <t>Email;</t>
  </si>
  <si>
    <t>arollins@my.yearupunited.org</t>
  </si>
  <si>
    <t>ariel rollins</t>
  </si>
  <si>
    <t>Weekday dinner;Weekday lunch;Weekend lunch;Weekend dinner;</t>
  </si>
  <si>
    <t>Multiple times per week</t>
  </si>
  <si>
    <t>I have no favorites. All of the kosher options are good.</t>
  </si>
  <si>
    <t>Food Quality;Atmosphere;Variety of Menu Options;</t>
  </si>
  <si>
    <t>Year Up;</t>
  </si>
  <si>
    <t>Being unemployed</t>
  </si>
  <si>
    <t>Exclusive perks (VIP offers, early access, membership);Discounts (e.g. % off);</t>
  </si>
  <si>
    <t>Text messages (SMS);Mobile app;Email;</t>
  </si>
  <si>
    <t>okaraer@my.yearupunited.org</t>
  </si>
  <si>
    <t>onur karaer</t>
  </si>
  <si>
    <t>Weekend lunch;</t>
  </si>
  <si>
    <t>Fries are die for</t>
  </si>
  <si>
    <t>Food Quality;Price/Value;Customer Service;</t>
  </si>
  <si>
    <t>Wait times;Location/Convenience;</t>
  </si>
  <si>
    <t>Visit-based rewards (e.g. 5 visits = free side/drink)</t>
  </si>
  <si>
    <t>herewego@gmail.com</t>
  </si>
  <si>
    <t>123789456</t>
  </si>
  <si>
    <t>60626</t>
  </si>
  <si>
    <t>Weekday lunch;Weekday dinner;</t>
  </si>
  <si>
    <t>Craft burgers</t>
  </si>
  <si>
    <t>Price/Value;Food Quality;Convenience/Location;</t>
  </si>
  <si>
    <t>Lack of promotions/deals;Price;Inconsistent quality;Wait times;</t>
  </si>
  <si>
    <t>Make craft burgers cheaper</t>
  </si>
  <si>
    <t>Text messages (SMS);Email;</t>
  </si>
  <si>
    <t>773-202-5964</t>
  </si>
  <si>
    <t>60630</t>
  </si>
  <si>
    <t>Time to complete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</si>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</sst>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 Leys(1-15).xlsx]Sheet2!PivotTable1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Guest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D3-4A66-9C16-18F16D3144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Sheet2!$A$2:$A$6</c:f>
              <c:strCache>
                <c:ptCount val="4"/>
                <c:pt idx="0">
                  <c:v>$10 - $20</c:v>
                </c:pt>
                <c:pt idx="1">
                  <c:v>$20 - $35</c:v>
                </c:pt>
                <c:pt idx="2">
                  <c:v>$35 - $50</c:v>
                </c:pt>
                <c:pt idx="3">
                  <c:v>&gt; $50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3-4A66-9C16-18F16D314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[Bar Leys(1-15).xlsx]Sheet2!PivotTable4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Frequent</a:t>
            </a:r>
            <a:r>
              <a:rPr lang="en-US" baseline="0"/>
              <a:t> Visits to Bar Leys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Sheet2!$A$11:$A$15</c:f>
              <c:strCache>
                <c:ptCount val="4"/>
                <c:pt idx="0">
                  <c:v>Multiple times per week</c:v>
                </c:pt>
                <c:pt idx="1">
                  <c:v>Once a week</c:v>
                </c:pt>
                <c:pt idx="2">
                  <c:v>A few times per month</c:v>
                </c:pt>
                <c:pt idx="3">
                  <c:v>Rarely</c:v>
                </c:pt>
              </c:strCache>
            </c:strRef>
          </c:cat>
          <c:val>
            <c:numRef>
              <c:f>Sheet2!$B$11:$B$15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9-495F-B930-6A8C9DCE4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680431"/>
        <c:axId val="587679951"/>
      </c:barChart>
      <c:catAx>
        <c:axId val="58768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679951"/>
        <c:crosses val="autoZero"/>
        <c:auto val="1"/>
        <c:lblAlgn val="ctr"/>
        <c:lblOffset val="100"/>
        <c:noMultiLvlLbl val="0"/>
      </c:catAx>
      <c:valAx>
        <c:axId val="5876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68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0894C-0FBE-2F1B-6798-8DD8E8FCF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</xdr:colOff>
      <xdr:row>18</xdr:row>
      <xdr:rowOff>33337</xdr:rowOff>
    </xdr:from>
    <xdr:to>
      <xdr:col>11</xdr:col>
      <xdr:colOff>309562</xdr:colOff>
      <xdr:row>32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1D64F4-5758-ADB6-DF8D-63E3205D6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ley Pham" refreshedDate="46122.53432835648" createdVersion="8" refreshedVersion="8" minRefreshableVersion="3" recordCount="15" xr:uid="{2B4853E4-F77E-4FAD-B40D-53873CEF1C8C}">
  <cacheSource type="worksheet">
    <worksheetSource name="Table1"/>
  </cacheSource>
  <cacheFields count="28">
    <cacheField name="ID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Start time" numFmtId="166">
      <sharedItems containsSemiMixedTypes="0" containsNonDate="0" containsDate="1" containsString="0" minDate="2026-04-09T13:58:56" maxDate="2026-04-10T11:42:41"/>
    </cacheField>
    <cacheField name="Completion time" numFmtId="166">
      <sharedItems containsSemiMixedTypes="0" containsNonDate="0" containsDate="1" containsString="0" minDate="2026-04-09T14:00:11" maxDate="2026-04-10T11:45:11"/>
    </cacheField>
    <cacheField name="Time to complete" numFmtId="45">
      <sharedItems containsSemiMixedTypes="0" containsNonDate="0" containsDate="1" containsString="0" minDate="1899-12-30T00:01:15" maxDate="1899-12-30T19:44:11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When do you usually visit or order from Bar Leys? (Select all that apply)" numFmtId="0">
      <sharedItems count="11">
        <s v="Weekend morning;"/>
        <s v="Weekend dinner;"/>
        <s v="Weekend dinner;Weekend lunch;"/>
        <s v="Weekend lunch;Weekend dinner;"/>
        <s v="Weekday dinner;"/>
        <s v="Weekend morning;Weekend lunch;"/>
        <s v="Weekday lunch;Weekend dinner;"/>
        <s v="Weekday morning;"/>
        <s v="Weekday dinner;Weekday lunch;Weekend lunch;Weekend dinner;"/>
        <s v="Weekend lunch;"/>
        <s v="Weekday lunch;Weekday dinner;"/>
      </sharedItems>
    </cacheField>
    <cacheField name="How do you usually order from Bar Leys?" numFmtId="0">
      <sharedItems count="4">
        <s v="Delivery;"/>
        <s v="Dine-In;"/>
        <s v="Takeout;Dine-In;"/>
        <s v="Takeout;"/>
      </sharedItems>
    </cacheField>
    <cacheField name="How often do you visit or order from Bar Leys?" numFmtId="0">
      <sharedItems count="4">
        <s v="A few times per month"/>
        <s v="Rarely"/>
        <s v="Once a week"/>
        <s v="Multiple times per week"/>
      </sharedItems>
    </cacheField>
    <cacheField name="What is your average spending per visit?" numFmtId="0">
      <sharedItems count="4">
        <s v="$20 - $35"/>
        <s v="$35 - $50"/>
        <s v="&gt; $50"/>
        <s v="$10 - $20"/>
      </sharedItems>
    </cacheField>
    <cacheField name="What is your favorite menu item?" numFmtId="0">
      <sharedItems count="15">
        <s v="asd"/>
        <s v="Espresso Martini"/>
        <s v="the burger"/>
        <s v="Margarita"/>
        <s v="smoked burger"/>
        <s v="The frozen margaritas "/>
        <s v="BarLey Risotto"/>
        <s v="Canned Modelo"/>
        <s v="Chicken Panini"/>
        <s v="Grilled chicken bowl"/>
        <s v="drinks"/>
        <s v="grilled burger"/>
        <s v="I have no favorites. All of the kosher options are good."/>
        <s v="Fries are die for"/>
        <s v="Craft burgers"/>
      </sharedItems>
    </cacheField>
    <cacheField name="What are the main reason(s) you chose Bar Leys?" numFmtId="0">
      <sharedItems/>
    </cacheField>
    <cacheField name="What, if anything, prevents you from visiting more often? (Select all that apply)" numFmtId="0">
      <sharedItems/>
    </cacheField>
    <cacheField name="What would make you visit us more often?" numFmtId="0">
      <sharedItems containsBlank="1"/>
    </cacheField>
    <cacheField name="How likely are you to recommend Bar Leys to a friend or colleague?" numFmtId="0">
      <sharedItems containsSemiMixedTypes="0" containsString="0" containsNumber="1" containsInteger="1" minValue="3" maxValue="10"/>
    </cacheField>
    <cacheField name="Please share any additional comments or questions." numFmtId="0">
      <sharedItems containsBlank="1"/>
    </cacheField>
    <cacheField name="How interested are you in joining a customer rewards/loyalty program?" numFmtId="0">
      <sharedItems/>
    </cacheField>
    <cacheField name="What type of rewards would you value the most?" numFmtId="0">
      <sharedItems/>
    </cacheField>
    <cacheField name="Which reward would most motivate you to return within the next 2 weeks?" numFmtId="0">
      <sharedItems/>
    </cacheField>
    <cacheField name="How would you prefer to earn rewards?" numFmtId="0">
      <sharedItems/>
    </cacheField>
    <cacheField name="How easy do you want to earn rewards?" numFmtId="0">
      <sharedItems/>
    </cacheField>
    <cacheField name="Would you be interested in personalized rewards based on your favorite items?" numFmtId="0">
      <sharedItems/>
    </cacheField>
    <cacheField name="How would you prefer to receive rewards and promotions? (Select all that apply)" numFmtId="0">
      <sharedItems/>
    </cacheField>
    <cacheField name="Is there anything else you'd like to see in our loyalty/rewards program?" numFmtId="0">
      <sharedItems containsBlank="1"/>
    </cacheField>
    <cacheField name="Email Address" numFmtId="0">
      <sharedItems/>
    </cacheField>
    <cacheField name="Phone Number (xxx-xxx-xxxx)" numFmtId="0">
      <sharedItems containsBlank="1"/>
    </cacheField>
    <cacheField name="Zip C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6-04-09T13:58:56"/>
    <d v="2026-04-09T14:00:11"/>
    <d v="1899-12-30T00:01:15"/>
    <s v="lpham1@my.yearupunited.org"/>
    <s v="longley pham"/>
    <m/>
    <x v="0"/>
    <x v="0"/>
    <x v="0"/>
    <x v="0"/>
    <x v="0"/>
    <s v="Speed of Service;"/>
    <s v="Inconsistent quality;"/>
    <m/>
    <n v="6"/>
    <m/>
    <s v="Somewhat not interested"/>
    <s v="Points-based system (earn &amp; redeem);"/>
    <s v="Free item with purchase"/>
    <s v="Tiered system (more visits = better perks/membership)"/>
    <s v="Harder to earn (larger rewards)"/>
    <s v="No"/>
    <s v="Mobile app;"/>
    <m/>
    <s v="asd@asd.ca"/>
    <m/>
    <m/>
  </r>
  <r>
    <x v="1"/>
    <d v="2026-04-09T14:27:23"/>
    <d v="2026-04-09T14:31:23"/>
    <d v="1899-12-30T00:04:00"/>
    <s v="ccelik@my.yearupunited.org"/>
    <s v="cagla celik"/>
    <m/>
    <x v="1"/>
    <x v="1"/>
    <x v="0"/>
    <x v="1"/>
    <x v="1"/>
    <s v="Customer Service;Atmosphere;Speed of Service;"/>
    <s v="Inconsistent quality;"/>
    <s v="Vegan options"/>
    <n v="7"/>
    <m/>
    <s v="Somewhat not interested"/>
    <s v="Free items (e.g. appetizers, drinks, desserts);"/>
    <s v="Double points/Bonus rewards"/>
    <s v="Points per dollar spent"/>
    <s v="Balanced"/>
    <s v="Maybe"/>
    <s v="In-store notifications;"/>
    <m/>
    <s v="ccelik@my.yearupunited.org"/>
    <m/>
    <m/>
  </r>
  <r>
    <x v="2"/>
    <d v="2026-04-09T14:27:43"/>
    <d v="2026-04-09T15:13:58"/>
    <d v="1899-12-30T00:46:15"/>
    <s v="kmarsh1@my.yearupunited.org"/>
    <s v="kiersten marsh"/>
    <m/>
    <x v="2"/>
    <x v="1"/>
    <x v="0"/>
    <x v="0"/>
    <x v="2"/>
    <s v="Food Quality;Customer Service;Variety of Menu Options;"/>
    <s v="Lack of promotions/deals;"/>
    <s v="Maybe like events"/>
    <n v="10"/>
    <m/>
    <s v="Extremely interested"/>
    <s v="Free items (e.g. appetizers, drinks, desserts);Points-based system (earn &amp; redeem);"/>
    <s v="Double points/Bonus rewards"/>
    <s v="Points per dollar spent"/>
    <s v="Balanced"/>
    <s v="Yes"/>
    <s v="Text messages (SMS);"/>
    <m/>
    <s v="emailyemail@email.com"/>
    <s v="123-456-7890"/>
    <s v="29802"/>
  </r>
  <r>
    <x v="3"/>
    <d v="2026-04-09T15:11:20"/>
    <d v="2026-04-09T15:14:08"/>
    <d v="1899-12-30T00:02:48"/>
    <s v="jalmarazflores@my.yearupunited.org"/>
    <s v="julissa almarazflores"/>
    <m/>
    <x v="3"/>
    <x v="1"/>
    <x v="0"/>
    <x v="1"/>
    <x v="3"/>
    <s v="Food Quality;Price/Value;Variety of Menu Options;"/>
    <s v="Price;Lack of promotions/deals;"/>
    <s v="Promotions or deals"/>
    <n v="9"/>
    <s v="n/a"/>
    <s v="Somewhat interested"/>
    <s v="Discounts (e.g. % off);Points-based system (earn &amp; redeem);"/>
    <s v="$5 off next visit"/>
    <s v="Points per dollar spent"/>
    <s v="Balanced"/>
    <s v="Yes"/>
    <s v="Text messages (SMS);Mobile app;"/>
    <s v="n/a"/>
    <s v="ilovedogs@gmail.com"/>
    <s v="12312231223123"/>
    <s v="60629"/>
  </r>
  <r>
    <x v="4"/>
    <d v="2026-04-09T15:28:45"/>
    <d v="2026-04-09T15:35:50"/>
    <d v="1899-12-30T00:07:05"/>
    <s v="tarista@my.yearupunited.org"/>
    <s v="tracy arista"/>
    <m/>
    <x v="1"/>
    <x v="1"/>
    <x v="1"/>
    <x v="0"/>
    <x v="4"/>
    <s v="Happy Hour;"/>
    <s v="Location/Convenience;Prefer other restaurants;"/>
    <s v="better martini cocktails"/>
    <n v="3"/>
    <m/>
    <s v="Extremely not interested"/>
    <s v="Free items (e.g. appetizers, drinks, desserts);"/>
    <s v="BOGO (Buy-one-get-one) offer"/>
    <s v="Points per dollar spent"/>
    <s v="Very easy (smaller rewards)"/>
    <s v="Maybe"/>
    <s v="In-store notifications;"/>
    <m/>
    <s v="janedoe@email.net"/>
    <s v="n/a"/>
    <m/>
  </r>
  <r>
    <x v="5"/>
    <d v="2026-04-09T16:49:41"/>
    <d v="2026-04-09T16:55:31"/>
    <d v="1899-12-30T00:05:50"/>
    <s v="pmartinez@my.yearupunited.org"/>
    <s v="paola martinez"/>
    <m/>
    <x v="1"/>
    <x v="1"/>
    <x v="0"/>
    <x v="2"/>
    <x v="5"/>
    <s v="Atmosphere;Customer Service;Food Quality;"/>
    <s v="Price;Wait times;Lack of promotions/deals;"/>
    <s v="I would love if there were more specials such as full course specials or happy hour specials "/>
    <n v="9"/>
    <m/>
    <s v="Neutral"/>
    <s v="Discounts (e.g. % off);Free items (e.g. appetizers, drinks, desserts);"/>
    <s v="Double points/Bonus rewards"/>
    <s v="Points per dollar spent"/>
    <s v="Harder to earn (larger rewards)"/>
    <s v="Yes"/>
    <s v="Text messages (SMS);"/>
    <m/>
    <s v="paolaelizabethmartinez@gmail.com"/>
    <s v="708 834 8053"/>
    <s v="60647"/>
  </r>
  <r>
    <x v="6"/>
    <d v="2026-04-09T16:27:13"/>
    <d v="2026-04-09T17:02:18"/>
    <d v="1899-12-30T00:35:05"/>
    <s v="ssimsek@my.yearupunited.org"/>
    <s v="sultan simsek"/>
    <m/>
    <x v="4"/>
    <x v="1"/>
    <x v="0"/>
    <x v="1"/>
    <x v="6"/>
    <s v="Food Quality;Happy Hour;"/>
    <s v="Price;"/>
    <s v="More budget friendly food items"/>
    <n v="10"/>
    <m/>
    <s v="Extremely interested"/>
    <s v="Discounts (e.g. % off);Points-based system (earn &amp; redeem);"/>
    <s v="BOGO (Buy-one-get-one) offer"/>
    <s v="Tiered system (more visits = better perks/membership)"/>
    <s v="Balanced"/>
    <s v="Yes"/>
    <s v="Mobile app;"/>
    <m/>
    <s v="ironwoman26@hotmail.com"/>
    <s v="1111111111"/>
    <m/>
  </r>
  <r>
    <x v="7"/>
    <d v="2026-04-09T17:10:20"/>
    <d v="2026-04-09T17:27:41"/>
    <d v="1899-12-30T00:17:21"/>
    <s v="mruiz3@my.yearupunited.org"/>
    <s v="maritza ruiz"/>
    <m/>
    <x v="4"/>
    <x v="1"/>
    <x v="0"/>
    <x v="0"/>
    <x v="7"/>
    <s v="Price/Value;"/>
    <s v="Lack of promotions/deals;"/>
    <s v="More specials"/>
    <n v="8"/>
    <m/>
    <s v="Neutral"/>
    <s v="Free items (e.g. appetizers, drinks, desserts);"/>
    <s v="$5 off next visit"/>
    <s v="Points per visit"/>
    <s v="Balanced"/>
    <s v="Yes"/>
    <s v="Text messages (SMS);"/>
    <s v="Invite only events"/>
    <s v="mndkfsndkfc@outlook.com"/>
    <s v="111-111-1111"/>
    <s v="60356"/>
  </r>
  <r>
    <x v="8"/>
    <d v="2026-04-09T17:37:21"/>
    <d v="2026-04-09T17:44:06"/>
    <d v="1899-12-30T00:06:45"/>
    <s v="jnavarroservin@my.yearupunited.org"/>
    <s v="jessica navarroservin"/>
    <m/>
    <x v="5"/>
    <x v="2"/>
    <x v="2"/>
    <x v="0"/>
    <x v="8"/>
    <s v="Convenience/Location;Speed of Service;Happy Hour;"/>
    <s v="Limited menu options;Inconsistent quality;"/>
    <s v="Offer live music band"/>
    <n v="8"/>
    <m/>
    <s v="Extremely interested"/>
    <s v="Discounts (e.g. % off);Free items (e.g. appetizers, drinks, desserts);"/>
    <s v="Double points/Bonus rewards"/>
    <s v="Points per visit"/>
    <s v="Balanced"/>
    <s v="Maybe"/>
    <s v="Text messages (SMS);"/>
    <s v="n/a"/>
    <s v="ilovedrinks@pinkflamingo.com"/>
    <s v="1234-1234-0000"/>
    <s v="76011"/>
  </r>
  <r>
    <x v="9"/>
    <d v="2026-04-09T17:47:41"/>
    <d v="2026-04-09T17:54:11"/>
    <d v="1899-12-30T00:06:30"/>
    <s v="edebero@my.yearupunited.org"/>
    <s v="eyerusalem debero"/>
    <m/>
    <x v="6"/>
    <x v="1"/>
    <x v="2"/>
    <x v="0"/>
    <x v="9"/>
    <s v="Food Quality;Atmosphere;Customer Service;"/>
    <s v="Price;Wait times;"/>
    <s v="Lower prices and faster service during busy hours."/>
    <n v="10"/>
    <s v="Great food and atmosphere, but improving wait times would make the experience even better."/>
    <s v="Extremely interested"/>
    <s v="Free items (e.g. appetizers, drinks, desserts);Discounts (e.g. % off);"/>
    <s v="Free item with purchase"/>
    <s v="Points per dollar spent"/>
    <s v="Balanced"/>
    <s v="Yes"/>
    <s v="Email;Text messages (SMS);"/>
    <s v="I would like simple and easy rewards, especially free food or discounts that can be earned quickly."/>
    <s v="edebero@my.yearupunited.org"/>
    <s v="521-771-7712"/>
    <s v="98756"/>
  </r>
  <r>
    <x v="10"/>
    <d v="2026-04-10T00:13:58"/>
    <d v="2026-04-10T00:16:49"/>
    <d v="1899-12-30T00:02:51"/>
    <s v="gmutize@my.yearupunited.org"/>
    <s v="godknows mutize"/>
    <m/>
    <x v="7"/>
    <x v="1"/>
    <x v="2"/>
    <x v="3"/>
    <x v="10"/>
    <s v="Food Quality;"/>
    <s v="Price;"/>
    <s v="Quality"/>
    <n v="10"/>
    <m/>
    <s v="Somewhat interested"/>
    <s v="Discounts (e.g. % off);"/>
    <s v="BOGO (Buy-one-get-one) offer"/>
    <s v="Points per visit"/>
    <s v="Balanced"/>
    <s v="No"/>
    <s v="Mobile app;"/>
    <m/>
    <s v="gdhdhd@gmail.com"/>
    <s v="5749739292"/>
    <s v="75070"/>
  </r>
  <r>
    <x v="11"/>
    <d v="2026-04-10T10:24:40"/>
    <d v="2026-04-10T10:26:49"/>
    <d v="1899-12-30T00:02:09"/>
    <s v="rmengesha@my.yearupunited.org"/>
    <s v="rmengesha@my.yearupunited.org"/>
    <m/>
    <x v="4"/>
    <x v="3"/>
    <x v="2"/>
    <x v="0"/>
    <x v="11"/>
    <s v="Price/Value;"/>
    <s v="Lack of promotions/deals;"/>
    <s v="loyalty program"/>
    <n v="9"/>
    <s v="good atmosphere"/>
    <s v="Somewhat interested"/>
    <s v="Discounts (e.g. % off);Points-based system (earn &amp; redeem);"/>
    <s v="Free item with purchase"/>
    <s v="Points per dollar spent"/>
    <s v="Very easy (smaller rewards)"/>
    <s v="Yes"/>
    <s v="Email;"/>
    <m/>
    <s v="rmengesha@my.yearupunited.org"/>
    <m/>
    <m/>
  </r>
  <r>
    <x v="12"/>
    <d v="2026-04-10T10:37:52"/>
    <d v="2026-04-10T10:40:00"/>
    <d v="1899-12-30T00:02:08"/>
    <s v="arollins@my.yearupunited.org"/>
    <s v="ariel rollins"/>
    <m/>
    <x v="8"/>
    <x v="1"/>
    <x v="3"/>
    <x v="1"/>
    <x v="12"/>
    <s v="Food Quality;Atmosphere;Variety of Menu Options;"/>
    <s v="Year Up;"/>
    <s v="Being unemployed"/>
    <n v="6"/>
    <m/>
    <s v="Neutral"/>
    <s v="Exclusive perks (VIP offers, early access, membership);Discounts (e.g. % off);"/>
    <s v="$5 off next visit"/>
    <s v="Points per dollar spent"/>
    <s v="Balanced"/>
    <s v="Maybe"/>
    <s v="Text messages (SMS);Mobile app;Email;"/>
    <m/>
    <s v="arollins@my.yearupunited.org"/>
    <m/>
    <m/>
  </r>
  <r>
    <x v="13"/>
    <d v="2026-04-09T15:14:11"/>
    <d v="2026-04-10T10:58:22"/>
    <d v="1899-12-30T19:44:11"/>
    <s v="okaraer@my.yearupunited.org"/>
    <s v="onur karaer"/>
    <m/>
    <x v="9"/>
    <x v="1"/>
    <x v="0"/>
    <x v="1"/>
    <x v="13"/>
    <s v="Food Quality;Price/Value;Customer Service;"/>
    <s v="Wait times;Location/Convenience;"/>
    <m/>
    <n v="8"/>
    <m/>
    <s v="Neutral"/>
    <s v="Free items (e.g. appetizers, drinks, desserts);"/>
    <s v="Free item with purchase"/>
    <s v="Visit-based rewards (e.g. 5 visits = free side/drink)"/>
    <s v="Balanced"/>
    <s v="Maybe"/>
    <s v="Mobile app;"/>
    <m/>
    <s v="herewego@gmail.com"/>
    <s v="123789456"/>
    <s v="60626"/>
  </r>
  <r>
    <x v="14"/>
    <d v="2026-04-10T11:42:41"/>
    <d v="2026-04-10T11:45:11"/>
    <d v="1899-12-30T00:02:30"/>
    <s v="lpham1@my.yearupunited.org"/>
    <s v="longley pham"/>
    <m/>
    <x v="10"/>
    <x v="3"/>
    <x v="2"/>
    <x v="2"/>
    <x v="14"/>
    <s v="Price/Value;Food Quality;Convenience/Location;"/>
    <s v="Lack of promotions/deals;Price;Inconsistent quality;Wait times;"/>
    <s v="Make craft burgers cheaper"/>
    <n v="6"/>
    <m/>
    <s v="Somewhat interested"/>
    <s v="Free items (e.g. appetizers, drinks, desserts);Discounts (e.g. % off);"/>
    <s v="BOGO (Buy-one-get-one) offer"/>
    <s v="Points per dollar spent"/>
    <s v="Balanced"/>
    <s v="Yes"/>
    <s v="Text messages (SMS);Email;"/>
    <m/>
    <s v="lpham1@my.yearupunited.org"/>
    <s v="773-202-5964"/>
    <s v="606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03093-467A-4BA7-B931-E75E8C89B71C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:B15" firstHeaderRow="1" firstDataRow="1" firstDataCol="1"/>
  <pivotFields count="28">
    <pivotField showAll="0"/>
    <pivotField numFmtId="166" showAll="0"/>
    <pivotField numFmtId="166" showAll="0"/>
    <pivotField numFmtId="45" showAll="0"/>
    <pivotField showAll="0"/>
    <pivotField dataField="1" showAll="0"/>
    <pivotField showAll="0"/>
    <pivotField showAll="0">
      <items count="12">
        <item x="4"/>
        <item x="8"/>
        <item x="10"/>
        <item x="6"/>
        <item x="7"/>
        <item x="1"/>
        <item x="2"/>
        <item x="9"/>
        <item x="3"/>
        <item x="0"/>
        <item x="5"/>
        <item t="default"/>
      </items>
    </pivotField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F14FA-189A-404B-B05B-E0F23DACFF9D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28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66" showAll="0"/>
    <pivotField numFmtId="166" showAll="0"/>
    <pivotField numFmtId="45" showAll="0"/>
    <pivotField showAll="0"/>
    <pivotField dataField="1"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>
      <items count="16">
        <item x="0"/>
        <item x="6"/>
        <item x="7"/>
        <item x="8"/>
        <item x="14"/>
        <item x="10"/>
        <item x="1"/>
        <item x="13"/>
        <item x="11"/>
        <item x="9"/>
        <item x="12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5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17" totalsRowCount="1">
  <autoFilter ref="A1:AB16" xr:uid="{00000000-0009-0000-0100-000001000000}"/>
  <tableColumns count="28">
    <tableColumn id="1" xr3:uid="{00000000-0010-0000-0000-000001000000}" name="ID" dataDxfId="55" totalsRowDxfId="27"/>
    <tableColumn id="2" xr3:uid="{00000000-0010-0000-0000-000002000000}" name="Start time" dataDxfId="54" totalsRowDxfId="26"/>
    <tableColumn id="3" xr3:uid="{00000000-0010-0000-0000-000003000000}" name="Completion time" dataDxfId="53" totalsRowDxfId="25"/>
    <tableColumn id="28" xr3:uid="{2382C876-2C0C-457C-A169-A7030666A301}" name="Time to complete" totalsRowFunction="custom" dataDxfId="52" totalsRowDxfId="24">
      <calculatedColumnFormula>Table1[[#This Row],[Completion time]]-Table1[[#This Row],[Start time]]</calculatedColumnFormula>
      <totalsRowFormula>AVERAGE(D2:D16)</totalsRowFormula>
    </tableColumn>
    <tableColumn id="4" xr3:uid="{00000000-0010-0000-0000-000004000000}" name="Email" dataDxfId="51" totalsRowDxfId="23"/>
    <tableColumn id="5" xr3:uid="{00000000-0010-0000-0000-000005000000}" name="Name" dataDxfId="50" totalsRowDxfId="22"/>
    <tableColumn id="6" xr3:uid="{00000000-0010-0000-0000-000006000000}" name="Last modified time" dataDxfId="49" totalsRowDxfId="21"/>
    <tableColumn id="7" xr3:uid="{00000000-0010-0000-0000-000007000000}" name="When do you usually visit or order from Bar Leys? (Select all that apply)" dataDxfId="48" totalsRowDxfId="20"/>
    <tableColumn id="8" xr3:uid="{00000000-0010-0000-0000-000008000000}" name="How do you usually order from Bar Leys?" dataDxfId="47" totalsRowDxfId="19"/>
    <tableColumn id="9" xr3:uid="{00000000-0010-0000-0000-000009000000}" name="How often do you visit or order from Bar Leys?" totalsRowFunction="custom" dataDxfId="46" totalsRowDxfId="18">
      <totalsRowFormula>SUM(COUNTIF(Table1[How often do you visit or order from Bar Leys?], "Multiple times per week"), COUNTIF(Table1[How often do you visit or order from Bar Leys?], "Once a week"))</totalsRowFormula>
    </tableColumn>
    <tableColumn id="10" xr3:uid="{00000000-0010-0000-0000-00000A000000}" name="What is your average spending per visit?" totalsRowFunction="custom" dataDxfId="45" totalsRowDxfId="17">
      <totalsRowFormula>SUM(COUNTIF(Table1[What is your average spending per visit?], "&lt; $10"), COUNTIF(Table1[What is your average spending per visit?], "$10 - $20"), COUNTIF(Table1[What is your average spending per visit?], "$20 - $35"))</totalsRowFormula>
    </tableColumn>
    <tableColumn id="11" xr3:uid="{00000000-0010-0000-0000-00000B000000}" name="What is your favorite menu item?" dataDxfId="44" totalsRowDxfId="16"/>
    <tableColumn id="12" xr3:uid="{00000000-0010-0000-0000-00000C000000}" name="What are the main reason(s) you chose Bar Leys?" dataDxfId="43" totalsRowDxfId="15"/>
    <tableColumn id="13" xr3:uid="{00000000-0010-0000-0000-00000D000000}" name="What, if anything, prevents you from visiting more often? (Select all that apply)" dataDxfId="42" totalsRowDxfId="14"/>
    <tableColumn id="14" xr3:uid="{00000000-0010-0000-0000-00000E000000}" name="What would make you visit us more often?" dataDxfId="41" totalsRowDxfId="13"/>
    <tableColumn id="15" xr3:uid="{00000000-0010-0000-0000-00000F000000}" name="How likely are you to recommend Bar Leys to a friend or colleague?" totalsRowFunction="custom" dataDxfId="40" totalsRowDxfId="12">
      <totalsRowFormula>AVERAGE(P2:P16)</totalsRowFormula>
    </tableColumn>
    <tableColumn id="16" xr3:uid="{00000000-0010-0000-0000-000010000000}" name="Please share any additional comments or questions." dataDxfId="39" totalsRowDxfId="11"/>
    <tableColumn id="17" xr3:uid="{00000000-0010-0000-0000-000011000000}" name="How interested are you in joining a customer rewards/loyalty program?" totalsRowFunction="custom" dataDxfId="38" totalsRowDxfId="10">
      <totalsRowFormula>SUM(COUNTIF(Table1[How interested are you in joining a customer rewards/loyalty program?], "Extremely interested"), COUNTIF(Table1[How interested are you in joining a customer rewards/loyalty program?], "Somewhat interested"))</totalsRowFormula>
    </tableColumn>
    <tableColumn id="18" xr3:uid="{00000000-0010-0000-0000-000012000000}" name="What type of rewards would you value the most?" dataDxfId="37" totalsRowDxfId="9"/>
    <tableColumn id="19" xr3:uid="{00000000-0010-0000-0000-000013000000}" name="Which reward would most motivate you to return within the next 2 weeks?" dataDxfId="36" totalsRowDxfId="8"/>
    <tableColumn id="20" xr3:uid="{00000000-0010-0000-0000-000014000000}" name="How would you prefer to earn rewards?" dataDxfId="35" totalsRowDxfId="7"/>
    <tableColumn id="21" xr3:uid="{00000000-0010-0000-0000-000015000000}" name="How easy do you want to earn rewards?" dataDxfId="34" totalsRowDxfId="6"/>
    <tableColumn id="22" xr3:uid="{00000000-0010-0000-0000-000016000000}" name="Would you be interested in personalized rewards based on your favorite items?" totalsRowFunction="custom" dataDxfId="33" totalsRowDxfId="5">
      <totalsRowFormula>COUNTIF(Table1[Would you be interested in personalized rewards based on your favorite items?], "Yes")</totalsRowFormula>
    </tableColumn>
    <tableColumn id="23" xr3:uid="{00000000-0010-0000-0000-000017000000}" name="How would you prefer to receive rewards and promotions? (Select all that apply)" dataDxfId="32" totalsRowDxfId="4"/>
    <tableColumn id="24" xr3:uid="{00000000-0010-0000-0000-000018000000}" name="Is there anything else you'd like to see in our loyalty/rewards program?" dataDxfId="31" totalsRowDxfId="3"/>
    <tableColumn id="25" xr3:uid="{00000000-0010-0000-0000-000019000000}" name="Email Address" dataDxfId="30" totalsRowDxfId="2"/>
    <tableColumn id="26" xr3:uid="{00000000-0010-0000-0000-00001A000000}" name="Phone Number (xxx-xxx-xxxx)" dataDxfId="29" totalsRowDxfId="1"/>
    <tableColumn id="27" xr3:uid="{00000000-0010-0000-0000-00001B000000}" name="Zip Code" dataDxfId="2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F13E-4ABA-47D5-B0D1-EDE9FBF1EAD6}">
  <dimension ref="A1:B15"/>
  <sheetViews>
    <sheetView tabSelected="1" workbookViewId="0"/>
  </sheetViews>
  <sheetFormatPr defaultRowHeight="15" x14ac:dyDescent="0.25"/>
  <cols>
    <col min="1" max="1" width="23.140625" bestFit="1" customWidth="1"/>
    <col min="2" max="3" width="14.42578125" bestFit="1" customWidth="1"/>
  </cols>
  <sheetData>
    <row r="1" spans="1:2" x14ac:dyDescent="0.25">
      <c r="A1" s="6" t="s">
        <v>200</v>
      </c>
      <c r="B1" t="s">
        <v>202</v>
      </c>
    </row>
    <row r="2" spans="1:2" x14ac:dyDescent="0.25">
      <c r="A2" s="7" t="s">
        <v>157</v>
      </c>
      <c r="B2" s="3">
        <v>1</v>
      </c>
    </row>
    <row r="3" spans="1:2" x14ac:dyDescent="0.25">
      <c r="A3" s="7" t="s">
        <v>32</v>
      </c>
      <c r="B3" s="3">
        <v>7</v>
      </c>
    </row>
    <row r="4" spans="1:2" x14ac:dyDescent="0.25">
      <c r="A4" s="7" t="s">
        <v>48</v>
      </c>
      <c r="B4" s="3">
        <v>5</v>
      </c>
    </row>
    <row r="5" spans="1:2" x14ac:dyDescent="0.25">
      <c r="A5" s="7" t="s">
        <v>100</v>
      </c>
      <c r="B5" s="3">
        <v>2</v>
      </c>
    </row>
    <row r="6" spans="1:2" x14ac:dyDescent="0.25">
      <c r="A6" s="7" t="s">
        <v>201</v>
      </c>
      <c r="B6" s="3">
        <v>15</v>
      </c>
    </row>
    <row r="10" spans="1:2" x14ac:dyDescent="0.25">
      <c r="A10" s="6" t="s">
        <v>200</v>
      </c>
      <c r="B10" t="s">
        <v>202</v>
      </c>
    </row>
    <row r="11" spans="1:2" x14ac:dyDescent="0.25">
      <c r="A11" s="7" t="s">
        <v>174</v>
      </c>
      <c r="B11" s="3">
        <v>1</v>
      </c>
    </row>
    <row r="12" spans="1:2" x14ac:dyDescent="0.25">
      <c r="A12" s="7" t="s">
        <v>133</v>
      </c>
      <c r="B12" s="3">
        <v>5</v>
      </c>
    </row>
    <row r="13" spans="1:2" x14ac:dyDescent="0.25">
      <c r="A13" s="7" t="s">
        <v>31</v>
      </c>
      <c r="B13" s="3">
        <v>8</v>
      </c>
    </row>
    <row r="14" spans="1:2" x14ac:dyDescent="0.25">
      <c r="A14" s="7" t="s">
        <v>89</v>
      </c>
      <c r="B14" s="3">
        <v>1</v>
      </c>
    </row>
    <row r="15" spans="1:2" x14ac:dyDescent="0.25">
      <c r="A15" s="7" t="s">
        <v>201</v>
      </c>
      <c r="B15" s="3">
        <v>15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"/>
  <sheetViews>
    <sheetView workbookViewId="0"/>
  </sheetViews>
  <sheetFormatPr defaultRowHeight="15" x14ac:dyDescent="0.25"/>
  <cols>
    <col min="1" max="1" width="20" bestFit="1" customWidth="1"/>
    <col min="2" max="3" width="20" style="4" bestFit="1" customWidth="1"/>
    <col min="4" max="4" width="20" style="5" customWidth="1"/>
    <col min="5" max="28" width="20" bestFit="1" customWidth="1"/>
  </cols>
  <sheetData>
    <row r="1" spans="1:28" x14ac:dyDescent="0.25">
      <c r="A1" t="s">
        <v>0</v>
      </c>
      <c r="B1" s="4" t="s">
        <v>1</v>
      </c>
      <c r="C1" s="4" t="s">
        <v>2</v>
      </c>
      <c r="D1" s="5" t="s">
        <v>199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1</v>
      </c>
      <c r="B2" s="4">
        <v>46121.582592592596</v>
      </c>
      <c r="C2" s="4">
        <v>46121.5834606481</v>
      </c>
      <c r="D2" s="5">
        <f>Table1[[#This Row],[Completion time]]-Table1[[#This Row],[Start time]]</f>
        <v>8.6805550381541252E-4</v>
      </c>
      <c r="E2" t="s">
        <v>27</v>
      </c>
      <c r="F2" t="s">
        <v>28</v>
      </c>
      <c r="G2" s="1"/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P2">
        <v>6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Z2" t="s">
        <v>43</v>
      </c>
    </row>
    <row r="3" spans="1:28" x14ac:dyDescent="0.25">
      <c r="A3">
        <v>2</v>
      </c>
      <c r="B3" s="4">
        <v>46121.602349537003</v>
      </c>
      <c r="C3" s="4">
        <v>46121.605127314797</v>
      </c>
      <c r="D3" s="5">
        <f>Table1[[#This Row],[Completion time]]-Table1[[#This Row],[Start time]]</f>
        <v>2.7777777941082604E-3</v>
      </c>
      <c r="E3" t="s">
        <v>44</v>
      </c>
      <c r="F3" t="s">
        <v>45</v>
      </c>
      <c r="G3" s="1"/>
      <c r="H3" t="s">
        <v>46</v>
      </c>
      <c r="I3" t="s">
        <v>47</v>
      </c>
      <c r="J3" t="s">
        <v>31</v>
      </c>
      <c r="K3" t="s">
        <v>48</v>
      </c>
      <c r="L3" t="s">
        <v>49</v>
      </c>
      <c r="M3" t="s">
        <v>50</v>
      </c>
      <c r="N3" t="s">
        <v>35</v>
      </c>
      <c r="O3" t="s">
        <v>51</v>
      </c>
      <c r="P3">
        <v>7</v>
      </c>
      <c r="R3" t="s">
        <v>36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Z3" t="s">
        <v>44</v>
      </c>
    </row>
    <row r="4" spans="1:28" x14ac:dyDescent="0.25">
      <c r="A4">
        <v>3</v>
      </c>
      <c r="B4" s="4">
        <v>46121.602581018502</v>
      </c>
      <c r="C4" s="4">
        <v>46121.6346990741</v>
      </c>
      <c r="D4" s="5">
        <f>Table1[[#This Row],[Completion time]]-Table1[[#This Row],[Start time]]</f>
        <v>3.2118055598402862E-2</v>
      </c>
      <c r="E4" t="s">
        <v>58</v>
      </c>
      <c r="F4" t="s">
        <v>59</v>
      </c>
      <c r="G4" s="1"/>
      <c r="H4" t="s">
        <v>60</v>
      </c>
      <c r="I4" t="s">
        <v>47</v>
      </c>
      <c r="J4" t="s">
        <v>31</v>
      </c>
      <c r="K4" t="s">
        <v>32</v>
      </c>
      <c r="L4" t="s">
        <v>61</v>
      </c>
      <c r="M4" t="s">
        <v>62</v>
      </c>
      <c r="N4" t="s">
        <v>63</v>
      </c>
      <c r="O4" t="s">
        <v>64</v>
      </c>
      <c r="P4">
        <v>10</v>
      </c>
      <c r="R4" t="s">
        <v>65</v>
      </c>
      <c r="S4" t="s">
        <v>66</v>
      </c>
      <c r="T4" t="s">
        <v>53</v>
      </c>
      <c r="U4" t="s">
        <v>54</v>
      </c>
      <c r="V4" t="s">
        <v>55</v>
      </c>
      <c r="W4" t="s">
        <v>67</v>
      </c>
      <c r="X4" t="s">
        <v>68</v>
      </c>
      <c r="Z4" t="s">
        <v>69</v>
      </c>
      <c r="AA4" t="s">
        <v>70</v>
      </c>
      <c r="AB4" s="2" t="s">
        <v>71</v>
      </c>
    </row>
    <row r="5" spans="1:28" x14ac:dyDescent="0.25">
      <c r="A5">
        <v>4</v>
      </c>
      <c r="B5" s="4">
        <v>46121.632870370398</v>
      </c>
      <c r="C5" s="4">
        <v>46121.634814814803</v>
      </c>
      <c r="D5" s="5">
        <f>Table1[[#This Row],[Completion time]]-Table1[[#This Row],[Start time]]</f>
        <v>1.9444444042164832E-3</v>
      </c>
      <c r="E5" t="s">
        <v>72</v>
      </c>
      <c r="F5" t="s">
        <v>73</v>
      </c>
      <c r="G5" s="1"/>
      <c r="H5" t="s">
        <v>74</v>
      </c>
      <c r="I5" t="s">
        <v>47</v>
      </c>
      <c r="J5" t="s">
        <v>31</v>
      </c>
      <c r="K5" t="s">
        <v>48</v>
      </c>
      <c r="L5" t="s">
        <v>75</v>
      </c>
      <c r="M5" t="s">
        <v>76</v>
      </c>
      <c r="N5" t="s">
        <v>77</v>
      </c>
      <c r="O5" t="s">
        <v>78</v>
      </c>
      <c r="P5">
        <v>9</v>
      </c>
      <c r="Q5" t="s">
        <v>79</v>
      </c>
      <c r="R5" t="s">
        <v>80</v>
      </c>
      <c r="S5" t="s">
        <v>81</v>
      </c>
      <c r="T5" t="s">
        <v>82</v>
      </c>
      <c r="U5" t="s">
        <v>54</v>
      </c>
      <c r="V5" t="s">
        <v>55</v>
      </c>
      <c r="W5" t="s">
        <v>67</v>
      </c>
      <c r="X5" t="s">
        <v>83</v>
      </c>
      <c r="Y5" t="s">
        <v>79</v>
      </c>
      <c r="Z5" t="s">
        <v>84</v>
      </c>
      <c r="AA5" s="2" t="s">
        <v>85</v>
      </c>
      <c r="AB5" s="2" t="s">
        <v>86</v>
      </c>
    </row>
    <row r="6" spans="1:28" x14ac:dyDescent="0.25">
      <c r="A6">
        <v>5</v>
      </c>
      <c r="B6" s="4">
        <v>46121.644965277803</v>
      </c>
      <c r="C6" s="4">
        <v>46121.649884259299</v>
      </c>
      <c r="D6" s="5">
        <f>Table1[[#This Row],[Completion time]]-Table1[[#This Row],[Start time]]</f>
        <v>4.9189814963028766E-3</v>
      </c>
      <c r="E6" t="s">
        <v>87</v>
      </c>
      <c r="F6" t="s">
        <v>88</v>
      </c>
      <c r="G6" s="1"/>
      <c r="H6" t="s">
        <v>46</v>
      </c>
      <c r="I6" t="s">
        <v>47</v>
      </c>
      <c r="J6" t="s">
        <v>89</v>
      </c>
      <c r="K6" t="s">
        <v>32</v>
      </c>
      <c r="L6" t="s">
        <v>90</v>
      </c>
      <c r="M6" t="s">
        <v>91</v>
      </c>
      <c r="N6" t="s">
        <v>92</v>
      </c>
      <c r="O6" t="s">
        <v>93</v>
      </c>
      <c r="P6">
        <v>3</v>
      </c>
      <c r="R6" t="s">
        <v>94</v>
      </c>
      <c r="S6" t="s">
        <v>52</v>
      </c>
      <c r="T6" t="s">
        <v>95</v>
      </c>
      <c r="U6" t="s">
        <v>54</v>
      </c>
      <c r="V6" t="s">
        <v>96</v>
      </c>
      <c r="W6" t="s">
        <v>56</v>
      </c>
      <c r="X6" t="s">
        <v>57</v>
      </c>
      <c r="Z6" t="s">
        <v>97</v>
      </c>
      <c r="AA6" t="s">
        <v>79</v>
      </c>
    </row>
    <row r="7" spans="1:28" x14ac:dyDescent="0.25">
      <c r="A7">
        <v>6</v>
      </c>
      <c r="B7" s="4">
        <v>46121.701168981497</v>
      </c>
      <c r="C7" s="4">
        <v>46121.705219907402</v>
      </c>
      <c r="D7" s="5">
        <f>Table1[[#This Row],[Completion time]]-Table1[[#This Row],[Start time]]</f>
        <v>4.0509259051759727E-3</v>
      </c>
      <c r="E7" t="s">
        <v>98</v>
      </c>
      <c r="F7" t="s">
        <v>99</v>
      </c>
      <c r="G7" s="1"/>
      <c r="H7" t="s">
        <v>46</v>
      </c>
      <c r="I7" t="s">
        <v>47</v>
      </c>
      <c r="J7" t="s">
        <v>31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>
        <v>9</v>
      </c>
      <c r="R7" t="s">
        <v>105</v>
      </c>
      <c r="S7" t="s">
        <v>106</v>
      </c>
      <c r="T7" t="s">
        <v>53</v>
      </c>
      <c r="U7" t="s">
        <v>54</v>
      </c>
      <c r="V7" t="s">
        <v>40</v>
      </c>
      <c r="W7" t="s">
        <v>67</v>
      </c>
      <c r="X7" t="s">
        <v>68</v>
      </c>
      <c r="Z7" t="s">
        <v>107</v>
      </c>
      <c r="AA7" t="s">
        <v>108</v>
      </c>
      <c r="AB7" s="2" t="s">
        <v>109</v>
      </c>
    </row>
    <row r="8" spans="1:28" x14ac:dyDescent="0.25">
      <c r="A8">
        <v>7</v>
      </c>
      <c r="B8" s="4">
        <v>46121.6855671296</v>
      </c>
      <c r="C8" s="4">
        <v>46121.709930555597</v>
      </c>
      <c r="D8" s="5">
        <f>Table1[[#This Row],[Completion time]]-Table1[[#This Row],[Start time]]</f>
        <v>2.4363425996853039E-2</v>
      </c>
      <c r="E8" t="s">
        <v>110</v>
      </c>
      <c r="F8" t="s">
        <v>111</v>
      </c>
      <c r="G8" s="1"/>
      <c r="H8" t="s">
        <v>112</v>
      </c>
      <c r="I8" t="s">
        <v>47</v>
      </c>
      <c r="J8" t="s">
        <v>31</v>
      </c>
      <c r="K8" t="s">
        <v>48</v>
      </c>
      <c r="L8" t="s">
        <v>113</v>
      </c>
      <c r="M8" t="s">
        <v>114</v>
      </c>
      <c r="N8" t="s">
        <v>115</v>
      </c>
      <c r="O8" t="s">
        <v>116</v>
      </c>
      <c r="P8">
        <v>10</v>
      </c>
      <c r="R8" t="s">
        <v>65</v>
      </c>
      <c r="S8" t="s">
        <v>81</v>
      </c>
      <c r="T8" t="s">
        <v>95</v>
      </c>
      <c r="U8" t="s">
        <v>39</v>
      </c>
      <c r="V8" t="s">
        <v>55</v>
      </c>
      <c r="W8" t="s">
        <v>67</v>
      </c>
      <c r="X8" t="s">
        <v>42</v>
      </c>
      <c r="Z8" t="s">
        <v>117</v>
      </c>
      <c r="AA8" s="2" t="s">
        <v>118</v>
      </c>
    </row>
    <row r="9" spans="1:28" x14ac:dyDescent="0.25">
      <c r="A9">
        <v>8</v>
      </c>
      <c r="B9" s="4">
        <v>46121.715509259302</v>
      </c>
      <c r="C9" s="4">
        <v>46121.727557870399</v>
      </c>
      <c r="D9" s="5">
        <f>Table1[[#This Row],[Completion time]]-Table1[[#This Row],[Start time]]</f>
        <v>1.2048611097270623E-2</v>
      </c>
      <c r="E9" t="s">
        <v>119</v>
      </c>
      <c r="F9" t="s">
        <v>120</v>
      </c>
      <c r="G9" s="1"/>
      <c r="H9" t="s">
        <v>112</v>
      </c>
      <c r="I9" t="s">
        <v>47</v>
      </c>
      <c r="J9" t="s">
        <v>31</v>
      </c>
      <c r="K9" t="s">
        <v>32</v>
      </c>
      <c r="L9" t="s">
        <v>121</v>
      </c>
      <c r="M9" t="s">
        <v>122</v>
      </c>
      <c r="N9" t="s">
        <v>63</v>
      </c>
      <c r="O9" t="s">
        <v>123</v>
      </c>
      <c r="P9">
        <v>8</v>
      </c>
      <c r="R9" t="s">
        <v>105</v>
      </c>
      <c r="S9" t="s">
        <v>52</v>
      </c>
      <c r="T9" t="s">
        <v>82</v>
      </c>
      <c r="U9" t="s">
        <v>124</v>
      </c>
      <c r="V9" t="s">
        <v>55</v>
      </c>
      <c r="W9" t="s">
        <v>67</v>
      </c>
      <c r="X9" t="s">
        <v>68</v>
      </c>
      <c r="Y9" t="s">
        <v>125</v>
      </c>
      <c r="Z9" t="s">
        <v>126</v>
      </c>
      <c r="AA9" t="s">
        <v>127</v>
      </c>
      <c r="AB9" s="2" t="s">
        <v>128</v>
      </c>
    </row>
    <row r="10" spans="1:28" x14ac:dyDescent="0.25">
      <c r="A10">
        <v>9</v>
      </c>
      <c r="B10" s="4">
        <v>46121.734270833302</v>
      </c>
      <c r="C10" s="4">
        <v>46121.738958333299</v>
      </c>
      <c r="D10" s="5">
        <f>Table1[[#This Row],[Completion time]]-Table1[[#This Row],[Start time]]</f>
        <v>4.687499997089617E-3</v>
      </c>
      <c r="E10" t="s">
        <v>129</v>
      </c>
      <c r="F10" t="s">
        <v>130</v>
      </c>
      <c r="G10" s="1"/>
      <c r="H10" t="s">
        <v>131</v>
      </c>
      <c r="I10" t="s">
        <v>132</v>
      </c>
      <c r="J10" t="s">
        <v>133</v>
      </c>
      <c r="K10" t="s">
        <v>32</v>
      </c>
      <c r="L10" t="s">
        <v>134</v>
      </c>
      <c r="M10" t="s">
        <v>135</v>
      </c>
      <c r="N10" t="s">
        <v>136</v>
      </c>
      <c r="O10" t="s">
        <v>137</v>
      </c>
      <c r="P10">
        <v>8</v>
      </c>
      <c r="R10" t="s">
        <v>65</v>
      </c>
      <c r="S10" t="s">
        <v>106</v>
      </c>
      <c r="T10" t="s">
        <v>53</v>
      </c>
      <c r="U10" t="s">
        <v>124</v>
      </c>
      <c r="V10" t="s">
        <v>55</v>
      </c>
      <c r="W10" t="s">
        <v>56</v>
      </c>
      <c r="X10" t="s">
        <v>68</v>
      </c>
      <c r="Y10" t="s">
        <v>79</v>
      </c>
      <c r="Z10" t="s">
        <v>138</v>
      </c>
      <c r="AA10" t="s">
        <v>139</v>
      </c>
      <c r="AB10" s="2" t="s">
        <v>140</v>
      </c>
    </row>
    <row r="11" spans="1:28" x14ac:dyDescent="0.25">
      <c r="A11">
        <v>10</v>
      </c>
      <c r="B11" s="4">
        <v>46121.741446759297</v>
      </c>
      <c r="C11" s="4">
        <v>46121.745960648099</v>
      </c>
      <c r="D11" s="5">
        <f>Table1[[#This Row],[Completion time]]-Table1[[#This Row],[Start time]]</f>
        <v>4.5138888017390855E-3</v>
      </c>
      <c r="E11" t="s">
        <v>141</v>
      </c>
      <c r="F11" t="s">
        <v>142</v>
      </c>
      <c r="G11" s="1"/>
      <c r="H11" t="s">
        <v>143</v>
      </c>
      <c r="I11" t="s">
        <v>47</v>
      </c>
      <c r="J11" t="s">
        <v>133</v>
      </c>
      <c r="K11" t="s">
        <v>32</v>
      </c>
      <c r="L11" t="s">
        <v>144</v>
      </c>
      <c r="M11" t="s">
        <v>145</v>
      </c>
      <c r="N11" t="s">
        <v>146</v>
      </c>
      <c r="O11" t="s">
        <v>147</v>
      </c>
      <c r="P11">
        <v>10</v>
      </c>
      <c r="Q11" t="s">
        <v>148</v>
      </c>
      <c r="R11" t="s">
        <v>65</v>
      </c>
      <c r="S11" t="s">
        <v>149</v>
      </c>
      <c r="T11" t="s">
        <v>38</v>
      </c>
      <c r="U11" t="s">
        <v>54</v>
      </c>
      <c r="V11" t="s">
        <v>55</v>
      </c>
      <c r="W11" t="s">
        <v>67</v>
      </c>
      <c r="X11" t="s">
        <v>150</v>
      </c>
      <c r="Y11" t="s">
        <v>151</v>
      </c>
      <c r="Z11" t="s">
        <v>141</v>
      </c>
      <c r="AA11" t="s">
        <v>152</v>
      </c>
      <c r="AB11" s="2" t="s">
        <v>153</v>
      </c>
    </row>
    <row r="12" spans="1:28" x14ac:dyDescent="0.25">
      <c r="A12">
        <v>11</v>
      </c>
      <c r="B12" s="4">
        <v>46122.0096990741</v>
      </c>
      <c r="C12" s="4">
        <v>46122.011678240699</v>
      </c>
      <c r="D12" s="5">
        <f>Table1[[#This Row],[Completion time]]-Table1[[#This Row],[Start time]]</f>
        <v>1.9791665981756523E-3</v>
      </c>
      <c r="E12" t="s">
        <v>154</v>
      </c>
      <c r="F12" t="s">
        <v>155</v>
      </c>
      <c r="G12" s="1"/>
      <c r="H12" t="s">
        <v>156</v>
      </c>
      <c r="I12" t="s">
        <v>47</v>
      </c>
      <c r="J12" t="s">
        <v>133</v>
      </c>
      <c r="K12" t="s">
        <v>157</v>
      </c>
      <c r="L12" t="s">
        <v>158</v>
      </c>
      <c r="M12" t="s">
        <v>159</v>
      </c>
      <c r="N12" t="s">
        <v>115</v>
      </c>
      <c r="O12" t="s">
        <v>160</v>
      </c>
      <c r="P12">
        <v>10</v>
      </c>
      <c r="R12" t="s">
        <v>80</v>
      </c>
      <c r="S12" t="s">
        <v>161</v>
      </c>
      <c r="T12" t="s">
        <v>95</v>
      </c>
      <c r="U12" t="s">
        <v>124</v>
      </c>
      <c r="V12" t="s">
        <v>55</v>
      </c>
      <c r="W12" t="s">
        <v>41</v>
      </c>
      <c r="X12" t="s">
        <v>42</v>
      </c>
      <c r="Z12" t="s">
        <v>162</v>
      </c>
      <c r="AA12" s="2" t="s">
        <v>163</v>
      </c>
      <c r="AB12" s="2" t="s">
        <v>164</v>
      </c>
    </row>
    <row r="13" spans="1:28" x14ac:dyDescent="0.25">
      <c r="A13">
        <v>12</v>
      </c>
      <c r="B13" s="4">
        <v>46122.433796296304</v>
      </c>
      <c r="C13" s="4">
        <v>46122.435289351903</v>
      </c>
      <c r="D13" s="5">
        <f>Table1[[#This Row],[Completion time]]-Table1[[#This Row],[Start time]]</f>
        <v>1.4930555989849381E-3</v>
      </c>
      <c r="E13" t="s">
        <v>165</v>
      </c>
      <c r="F13" t="s">
        <v>165</v>
      </c>
      <c r="G13" s="1"/>
      <c r="H13" t="s">
        <v>112</v>
      </c>
      <c r="I13" t="s">
        <v>166</v>
      </c>
      <c r="J13" t="s">
        <v>133</v>
      </c>
      <c r="K13" t="s">
        <v>32</v>
      </c>
      <c r="L13" t="s">
        <v>167</v>
      </c>
      <c r="M13" t="s">
        <v>122</v>
      </c>
      <c r="N13" t="s">
        <v>63</v>
      </c>
      <c r="O13" t="s">
        <v>168</v>
      </c>
      <c r="P13">
        <v>9</v>
      </c>
      <c r="Q13" t="s">
        <v>169</v>
      </c>
      <c r="R13" t="s">
        <v>80</v>
      </c>
      <c r="S13" t="s">
        <v>81</v>
      </c>
      <c r="T13" t="s">
        <v>38</v>
      </c>
      <c r="U13" t="s">
        <v>54</v>
      </c>
      <c r="V13" t="s">
        <v>96</v>
      </c>
      <c r="W13" t="s">
        <v>67</v>
      </c>
      <c r="X13" t="s">
        <v>170</v>
      </c>
      <c r="Z13" t="s">
        <v>165</v>
      </c>
    </row>
    <row r="14" spans="1:28" x14ac:dyDescent="0.25">
      <c r="A14">
        <v>13</v>
      </c>
      <c r="B14" s="4">
        <v>46122.442962963003</v>
      </c>
      <c r="C14" s="4">
        <v>46122.444444444402</v>
      </c>
      <c r="D14" s="5">
        <f>Table1[[#This Row],[Completion time]]-Table1[[#This Row],[Start time]]</f>
        <v>1.4814813985140063E-3</v>
      </c>
      <c r="E14" t="s">
        <v>171</v>
      </c>
      <c r="F14" t="s">
        <v>172</v>
      </c>
      <c r="G14" s="1"/>
      <c r="H14" t="s">
        <v>173</v>
      </c>
      <c r="I14" t="s">
        <v>47</v>
      </c>
      <c r="J14" t="s">
        <v>174</v>
      </c>
      <c r="K14" t="s">
        <v>48</v>
      </c>
      <c r="L14" t="s">
        <v>175</v>
      </c>
      <c r="M14" t="s">
        <v>176</v>
      </c>
      <c r="N14" t="s">
        <v>177</v>
      </c>
      <c r="O14" t="s">
        <v>178</v>
      </c>
      <c r="P14">
        <v>6</v>
      </c>
      <c r="R14" t="s">
        <v>105</v>
      </c>
      <c r="S14" t="s">
        <v>179</v>
      </c>
      <c r="T14" t="s">
        <v>82</v>
      </c>
      <c r="U14" t="s">
        <v>54</v>
      </c>
      <c r="V14" t="s">
        <v>55</v>
      </c>
      <c r="W14" t="s">
        <v>56</v>
      </c>
      <c r="X14" t="s">
        <v>180</v>
      </c>
      <c r="Z14" t="s">
        <v>171</v>
      </c>
    </row>
    <row r="15" spans="1:28" x14ac:dyDescent="0.25">
      <c r="A15">
        <v>14</v>
      </c>
      <c r="B15" s="4">
        <v>46121.634849536997</v>
      </c>
      <c r="C15" s="4">
        <v>46122.457199074102</v>
      </c>
      <c r="D15" s="5">
        <f>Table1[[#This Row],[Completion time]]-Table1[[#This Row],[Start time]]</f>
        <v>0.82234953710576519</v>
      </c>
      <c r="E15" t="s">
        <v>181</v>
      </c>
      <c r="F15" t="s">
        <v>182</v>
      </c>
      <c r="G15" s="1"/>
      <c r="H15" t="s">
        <v>183</v>
      </c>
      <c r="I15" t="s">
        <v>47</v>
      </c>
      <c r="J15" t="s">
        <v>31</v>
      </c>
      <c r="K15" t="s">
        <v>48</v>
      </c>
      <c r="L15" t="s">
        <v>184</v>
      </c>
      <c r="M15" t="s">
        <v>185</v>
      </c>
      <c r="N15" t="s">
        <v>186</v>
      </c>
      <c r="P15">
        <v>8</v>
      </c>
      <c r="R15" t="s">
        <v>105</v>
      </c>
      <c r="S15" t="s">
        <v>52</v>
      </c>
      <c r="T15" t="s">
        <v>38</v>
      </c>
      <c r="U15" t="s">
        <v>187</v>
      </c>
      <c r="V15" t="s">
        <v>55</v>
      </c>
      <c r="W15" t="s">
        <v>56</v>
      </c>
      <c r="X15" t="s">
        <v>42</v>
      </c>
      <c r="Z15" t="s">
        <v>188</v>
      </c>
      <c r="AA15" s="2" t="s">
        <v>189</v>
      </c>
      <c r="AB15" s="2" t="s">
        <v>190</v>
      </c>
    </row>
    <row r="16" spans="1:28" x14ac:dyDescent="0.25">
      <c r="A16">
        <v>15</v>
      </c>
      <c r="B16" s="4">
        <v>46122.487974536998</v>
      </c>
      <c r="C16" s="4">
        <v>46122.4897106481</v>
      </c>
      <c r="D16" s="5">
        <f>Table1[[#This Row],[Completion time]]-Table1[[#This Row],[Start time]]</f>
        <v>1.736111102218274E-3</v>
      </c>
      <c r="E16" t="s">
        <v>27</v>
      </c>
      <c r="F16" t="s">
        <v>28</v>
      </c>
      <c r="G16" s="1"/>
      <c r="H16" t="s">
        <v>191</v>
      </c>
      <c r="I16" t="s">
        <v>166</v>
      </c>
      <c r="J16" t="s">
        <v>133</v>
      </c>
      <c r="K16" t="s">
        <v>100</v>
      </c>
      <c r="L16" t="s">
        <v>192</v>
      </c>
      <c r="M16" t="s">
        <v>193</v>
      </c>
      <c r="N16" t="s">
        <v>194</v>
      </c>
      <c r="O16" t="s">
        <v>195</v>
      </c>
      <c r="P16">
        <v>6</v>
      </c>
      <c r="R16" t="s">
        <v>80</v>
      </c>
      <c r="S16" t="s">
        <v>149</v>
      </c>
      <c r="T16" t="s">
        <v>95</v>
      </c>
      <c r="U16" t="s">
        <v>54</v>
      </c>
      <c r="V16" t="s">
        <v>55</v>
      </c>
      <c r="W16" t="s">
        <v>67</v>
      </c>
      <c r="X16" t="s">
        <v>196</v>
      </c>
      <c r="Z16" t="s">
        <v>27</v>
      </c>
      <c r="AA16" t="s">
        <v>197</v>
      </c>
      <c r="AB16" s="2" t="s">
        <v>198</v>
      </c>
    </row>
    <row r="17" spans="1:28" x14ac:dyDescent="0.25">
      <c r="A17" s="3"/>
      <c r="D17" s="5">
        <f>AVERAGE(D2:D16)</f>
        <v>6.1422067893242151E-2</v>
      </c>
      <c r="E17" s="3"/>
      <c r="F17" s="3"/>
      <c r="G17" s="1"/>
      <c r="H17" s="3"/>
      <c r="I17" s="3"/>
      <c r="J17" s="3">
        <f>SUM(COUNTIF(Table1[How often do you visit or order from Bar Leys?], "Multiple times per week"), COUNTIF(Table1[How often do you visit or order from Bar Leys?], "Once a week"))</f>
        <v>6</v>
      </c>
      <c r="K17" s="3">
        <f>SUM(COUNTIF(Table1[What is your average spending per visit?], "&lt; $10"), COUNTIF(Table1[What is your average spending per visit?], "$10 - $20"), COUNTIF(Table1[What is your average spending per visit?], "$20 - $35"))</f>
        <v>8</v>
      </c>
      <c r="L17" s="3"/>
      <c r="M17" s="3"/>
      <c r="N17" s="3"/>
      <c r="O17" s="3"/>
      <c r="P17" s="3">
        <f>AVERAGE(P2:P16)</f>
        <v>7.9333333333333336</v>
      </c>
      <c r="Q17" s="3"/>
      <c r="R17" s="3">
        <f>SUM(COUNTIF(Table1[How interested are you in joining a customer rewards/loyalty program?], "Extremely interested"), COUNTIF(Table1[How interested are you in joining a customer rewards/loyalty program?], "Somewhat interested"))</f>
        <v>8</v>
      </c>
      <c r="S17" s="3"/>
      <c r="T17" s="3"/>
      <c r="U17" s="3"/>
      <c r="V17" s="3"/>
      <c r="W17" s="3">
        <f>COUNTIF(Table1[Would you be interested in personalized rewards based on your favorite items?], "Yes")</f>
        <v>8</v>
      </c>
      <c r="X17" s="3"/>
      <c r="Y17" s="3"/>
      <c r="Z17" s="3"/>
      <c r="AA17" s="3"/>
      <c r="AB17" s="3"/>
    </row>
    <row r="18" spans="1:28" x14ac:dyDescent="0.25">
      <c r="R18" cm="1">
        <f t="array" ref="R18">AVERAGE(_xlfn.SWITCH(Table1[How interested are you in joining a customer rewards/loyalty program?], "Extremely not interested", 0, "Somewhat not interested", 1, "Neutral", 2, "Somewhat interested", 3, "Extremely Interested", 4))</f>
        <v>2.5333333333333332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longley pham</cp:lastModifiedBy>
  <dcterms:created xsi:type="dcterms:W3CDTF">2026-04-10T16:45:34Z</dcterms:created>
  <dcterms:modified xsi:type="dcterms:W3CDTF">2026-04-10T19:23:39Z</dcterms:modified>
</cp:coreProperties>
</file>